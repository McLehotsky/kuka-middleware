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úhrn" sheetId="2" state="visible" r:id="rId2"/>
  </sheets>
  <definedNames>
    <definedName name="_xlnm._FilterDatabase" localSheetId="0" hidden="1">'Backlog'!$A$1:$H$56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b val="1"/>
      <color rgb="00FFFFFF"/>
    </font>
    <font>
      <name val="Arial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 indent="2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 indent="4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 indent="6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58" customWidth="1" min="3" max="3"/>
    <col width="55" customWidth="1" min="4" max="4"/>
    <col width="70" customWidth="1" min="5" max="5"/>
    <col width="16" customWidth="1" min="6" max="6"/>
    <col width="15" customWidth="1" min="7" max="7"/>
    <col width="11" customWidth="1" min="8" max="8"/>
  </cols>
  <sheetData>
    <row r="1" ht="22" customHeight="1">
      <c r="A1" s="1" t="inlineStr">
        <is>
          <t>Poradie</t>
        </is>
      </c>
      <c r="B1" s="1" t="inlineStr">
        <is>
          <t>Typ</t>
        </is>
      </c>
      <c r="C1" s="1" t="inlineStr">
        <is>
          <t>Názov</t>
        </is>
      </c>
      <c r="D1" s="1" t="inlineStr">
        <is>
          <t>Popis</t>
        </is>
      </c>
      <c r="E1" s="1" t="inlineStr">
        <is>
          <t>Akceptačné kritériá</t>
        </is>
      </c>
      <c r="F1" s="1" t="inlineStr">
        <is>
          <t>Tagy</t>
        </is>
      </c>
      <c r="G1" s="1" t="inlineStr">
        <is>
          <t>Activity</t>
        </is>
      </c>
      <c r="H1" s="1" t="inlineStr">
        <is>
          <t>Odhad (h)</t>
        </is>
      </c>
    </row>
    <row r="2">
      <c r="A2" s="2" t="inlineStr">
        <is>
          <t>1</t>
        </is>
      </c>
      <c r="B2" s="2" t="inlineStr">
        <is>
          <t>Epic</t>
        </is>
      </c>
      <c r="C2" s="3" t="inlineStr">
        <is>
          <t>KUKA FM Middleware</t>
        </is>
      </c>
      <c r="D2" s="4" t="inlineStr">
        <is>
          <t>Middleware medzi externým systémom / operátorom a KUKA AMR Fleet Manager: zadanie a zrušenie misie, synchronizácia stavov misií a robotov, webové UI, nasadenie cez CI/CD.</t>
        </is>
      </c>
      <c r="E2" s="4" t="inlineStr">
        <is>
          <t>• Je možné zadať novú misiu.
• Je možné zrušiť prebiehajúcu misiu.
• Je možné prezrieť stav prebiehajúcich misií, ktoré sa aktualizujú v reálnom čase, a ukončených misií.
• Je možné prezrieť stav robotov, ktoré sa aktualizujú v reálnom čase.
• Prístup ku KUKA FM API volaniu je zabezpečený access tokenom.
• Všetky operácie vykonané používateľom sú logované.
• Proces testovania a nasadenia je plne automatizovaný využitím CI/CD pipeline.</t>
        </is>
      </c>
      <c r="F2" s="4" t="inlineStr"/>
      <c r="G2" s="5" t="inlineStr"/>
      <c r="H2" s="2">
        <f>H3+H22+H27+H38</f>
        <v/>
      </c>
    </row>
    <row r="3" outlineLevel="1">
      <c r="A3" s="6" t="inlineStr">
        <is>
          <t>1.1</t>
        </is>
      </c>
      <c r="B3" s="6" t="inlineStr">
        <is>
          <t>Feature</t>
        </is>
      </c>
      <c r="C3" s="7" t="inlineStr">
        <is>
          <t>Správa misií</t>
        </is>
      </c>
      <c r="D3" s="8" t="inlineStr">
        <is>
          <t>Zadanie, zrušenie a prehľad misií vrátane histórie stavov (UC1–UC4, wiki 3.1).</t>
        </is>
      </c>
      <c r="E3" s="8" t="inlineStr">
        <is>
          <t>• Misie sa dajú zadať, zrušiť a sledovať cez middleware bez použitia UI KUKA FM.
• Každá misia má aktuálny stav aj celú históriu zmien.</t>
        </is>
      </c>
      <c r="F3" s="8" t="inlineStr">
        <is>
          <t>FR1; FR2; FR5; FR6</t>
        </is>
      </c>
      <c r="G3" s="9" t="inlineStr"/>
      <c r="H3" s="6">
        <f>H4+H9+H14+H18</f>
        <v/>
      </c>
    </row>
    <row r="4" outlineLevel="2">
      <c r="A4" s="10" t="inlineStr">
        <is>
          <t>1.1.1</t>
        </is>
      </c>
      <c r="B4" s="10" t="inlineStr">
        <is>
          <t>User Story</t>
        </is>
      </c>
      <c r="C4" s="11" t="inlineStr">
        <is>
          <t>UC1 – Zadať misiu</t>
        </is>
      </c>
      <c r="D4" s="12" t="inlineStr">
        <is>
          <t>Ako operátor / externý systém chcem zadať novú misiu robotovi, aby ju KUKA FM vykonal.</t>
        </is>
      </c>
      <c r="E4" s="12" t="inlineStr">
        <is>
          <t>• Formulár / POST /api/missions prijme typ misie, cieľové body a voliteľne robota.
• Neplatný vstup vráti 400, neautorizovaný request 401; KUKA FM sa nevolá.
• Po úspešnom submitMission je misia uložená so stavom Created/Submitted, má prvý záznam v histórii a aktér dostane jej ID.
• Ak KUKA FM misiu odmietne alebo je nedostupné, misia je Failed, chyba sa zaloguje a API vráti 502.</t>
        </is>
      </c>
      <c r="F4" s="12" t="inlineStr">
        <is>
          <t>UC1</t>
        </is>
      </c>
      <c r="G4" s="13" t="inlineStr"/>
      <c r="H4" s="10">
        <f>SUM(H5:H8)</f>
        <v/>
      </c>
    </row>
    <row r="5" outlineLevel="3">
      <c r="A5" s="14" t="inlineStr">
        <is>
          <t>1.1.1.1</t>
        </is>
      </c>
      <c r="B5" s="14" t="inlineStr">
        <is>
          <t>Task</t>
        </is>
      </c>
      <c r="C5" s="15" t="inlineStr">
        <is>
          <t>[BE] Endpoint POST /api/missions + validácia vstupu</t>
        </is>
      </c>
      <c r="D5" s="16" t="inlineStr">
        <is>
          <t>Validácia typu misie, cieľových bodov a existencie robota (ak je zadaný). Odpoveď 201 s ID misie alebo 400.</t>
        </is>
      </c>
      <c r="E5" s="16" t="inlineStr"/>
      <c r="F5" s="16" t="inlineStr">
        <is>
          <t>BE</t>
        </is>
      </c>
      <c r="G5" s="14" t="inlineStr">
        <is>
          <t>Development</t>
        </is>
      </c>
      <c r="H5" s="17" t="n">
        <v>4</v>
      </c>
    </row>
    <row r="6" outlineLevel="3">
      <c r="A6" s="14" t="inlineStr">
        <is>
          <t>1.1.1.2</t>
        </is>
      </c>
      <c r="B6" s="14" t="inlineStr">
        <is>
          <t>Task</t>
        </is>
      </c>
      <c r="C6" s="15" t="inlineStr">
        <is>
          <t>[BE] Volanie submitMission + uloženie misie a histórie</t>
        </is>
      </c>
      <c r="D6" s="16" t="inlineStr">
        <is>
          <t>Vygenerovať MissionCode, uložiť Mission + MissionStep (Created), zavolať submitMission, nastaviť Submitted alebo Failed (ErrorMessage) a zapísať MissionStatusHistory (diagram 4.1).</t>
        </is>
      </c>
      <c r="E6" s="16" t="inlineStr"/>
      <c r="F6" s="16" t="inlineStr">
        <is>
          <t>BE</t>
        </is>
      </c>
      <c r="G6" s="14" t="inlineStr">
        <is>
          <t>Development</t>
        </is>
      </c>
      <c r="H6" s="17" t="n">
        <v>5</v>
      </c>
    </row>
    <row r="7" outlineLevel="3">
      <c r="A7" s="14" t="inlineStr">
        <is>
          <t>1.1.1.3</t>
        </is>
      </c>
      <c r="B7" s="14" t="inlineStr">
        <is>
          <t>Task</t>
        </is>
      </c>
      <c r="C7" s="15" t="inlineStr">
        <is>
          <t>[FE] Obrazovka Nová misia (mockup 6.2)</t>
        </is>
      </c>
      <c r="D7" s="16" t="inlineStr">
        <is>
          <t>Formulár: typ, cieľové body, voliteľne robot z GET /api/robots. Zobrazenie ID misie alebo chybového hlásenia.</t>
        </is>
      </c>
      <c r="E7" s="16" t="inlineStr"/>
      <c r="F7" s="16" t="inlineStr">
        <is>
          <t>FE</t>
        </is>
      </c>
      <c r="G7" s="14" t="inlineStr">
        <is>
          <t>Development</t>
        </is>
      </c>
      <c r="H7" s="17" t="n">
        <v>6</v>
      </c>
    </row>
    <row r="8" outlineLevel="3">
      <c r="A8" s="14" t="inlineStr">
        <is>
          <t>1.1.1.4</t>
        </is>
      </c>
      <c r="B8" s="14" t="inlineStr">
        <is>
          <t>Task</t>
        </is>
      </c>
      <c r="C8" s="15" t="inlineStr">
        <is>
          <t>[TEST] Unit testy zadania misie</t>
        </is>
      </c>
      <c r="D8" s="16" t="inlineStr">
        <is>
          <t>Validácia, mapovanie na submitMission request, úspech aj chyba KUKA FM (klient a DB mockované).</t>
        </is>
      </c>
      <c r="E8" s="16" t="inlineStr"/>
      <c r="F8" s="16" t="inlineStr">
        <is>
          <t>TEST</t>
        </is>
      </c>
      <c r="G8" s="14" t="inlineStr">
        <is>
          <t>Testing</t>
        </is>
      </c>
      <c r="H8" s="17" t="n">
        <v>4</v>
      </c>
    </row>
    <row r="9" outlineLevel="2">
      <c r="A9" s="10" t="inlineStr">
        <is>
          <t>1.1.2</t>
        </is>
      </c>
      <c r="B9" s="10" t="inlineStr">
        <is>
          <t>User Story</t>
        </is>
      </c>
      <c r="C9" s="11" t="inlineStr">
        <is>
          <t>UC2 – Zrušiť misiu</t>
        </is>
      </c>
      <c r="D9" s="12" t="inlineStr">
        <is>
          <t>Ako operátor / externý systém chcem zrušiť rozbehnutú misiu.</t>
        </is>
      </c>
      <c r="E9" s="12" t="inlineStr">
        <is>
          <t>• Zrušiť je možné len misiu, ktorá nie je ukončená; v UI vyžaduje potvrdenie.
• Neexistujúca misia vráti 404, ukončená 409.
• Po úspešnom cancelMission je misia v stave Cancelling a zmena je v histórii.
• Finálny stav Cancelled potvrdí synchronizácia (UC5).</t>
        </is>
      </c>
      <c r="F9" s="12" t="inlineStr">
        <is>
          <t>UC2</t>
        </is>
      </c>
      <c r="G9" s="13" t="inlineStr"/>
      <c r="H9" s="10">
        <f>SUM(H10:H13)</f>
        <v/>
      </c>
    </row>
    <row r="10" outlineLevel="3">
      <c r="A10" s="14" t="inlineStr">
        <is>
          <t>1.1.2.1</t>
        </is>
      </c>
      <c r="B10" s="14" t="inlineStr">
        <is>
          <t>Task</t>
        </is>
      </c>
      <c r="C10" s="15" t="inlineStr">
        <is>
          <t>[BE] Endpoint POST /api/missions/{id}/cancel + kontroly 404/409</t>
        </is>
      </c>
      <c r="D10" s="16" t="inlineStr">
        <is>
          <t>Načítať misiu, overiť že existuje a nie je ukončená.</t>
        </is>
      </c>
      <c r="E10" s="16" t="inlineStr"/>
      <c r="F10" s="16" t="inlineStr">
        <is>
          <t>BE</t>
        </is>
      </c>
      <c r="G10" s="14" t="inlineStr">
        <is>
          <t>Development</t>
        </is>
      </c>
      <c r="H10" s="17" t="n">
        <v>3</v>
      </c>
    </row>
    <row r="11" outlineLevel="3">
      <c r="A11" s="14" t="inlineStr">
        <is>
          <t>1.1.2.2</t>
        </is>
      </c>
      <c r="B11" s="14" t="inlineStr">
        <is>
          <t>Task</t>
        </is>
      </c>
      <c r="C11" s="15" t="inlineStr">
        <is>
          <t>[BE] Volanie cancelMission + stav Cancelling</t>
        </is>
      </c>
      <c r="D11" s="16" t="inlineStr">
        <is>
          <t>Zavolať cancelMission na KUKA FM, nastaviť Cancelling a zapísať históriu (diagram 4.2).</t>
        </is>
      </c>
      <c r="E11" s="16" t="inlineStr"/>
      <c r="F11" s="16" t="inlineStr">
        <is>
          <t>BE</t>
        </is>
      </c>
      <c r="G11" s="14" t="inlineStr">
        <is>
          <t>Development</t>
        </is>
      </c>
      <c r="H11" s="17" t="n">
        <v>3</v>
      </c>
    </row>
    <row r="12" outlineLevel="3">
      <c r="A12" s="14" t="inlineStr">
        <is>
          <t>1.1.2.3</t>
        </is>
      </c>
      <c r="B12" s="14" t="inlineStr">
        <is>
          <t>Task</t>
        </is>
      </c>
      <c r="C12" s="15" t="inlineStr">
        <is>
          <t>[FE] Tlačidlo Zrušiť s potvrdením (mockup 6.4)</t>
        </is>
      </c>
      <c r="D12" s="16" t="inlineStr">
        <is>
          <t>Tlačidlo len pri aktívnych misiách, potvrdzovací dialóg, zobrazenie výsledku.</t>
        </is>
      </c>
      <c r="E12" s="16" t="inlineStr"/>
      <c r="F12" s="16" t="inlineStr">
        <is>
          <t>FE</t>
        </is>
      </c>
      <c r="G12" s="14" t="inlineStr">
        <is>
          <t>Development</t>
        </is>
      </c>
      <c r="H12" s="17" t="n">
        <v>3</v>
      </c>
    </row>
    <row r="13" outlineLevel="3">
      <c r="A13" s="14" t="inlineStr">
        <is>
          <t>1.1.2.4</t>
        </is>
      </c>
      <c r="B13" s="14" t="inlineStr">
        <is>
          <t>Task</t>
        </is>
      </c>
      <c r="C13" s="15" t="inlineStr">
        <is>
          <t>[TEST] Unit testy zrušenia misie</t>
        </is>
      </c>
      <c r="D13" s="16" t="inlineStr">
        <is>
          <t>Prípady: aktívna, ukončená (409), neexistujúca (404).</t>
        </is>
      </c>
      <c r="E13" s="16" t="inlineStr"/>
      <c r="F13" s="16" t="inlineStr">
        <is>
          <t>TEST</t>
        </is>
      </c>
      <c r="G13" s="14" t="inlineStr">
        <is>
          <t>Testing</t>
        </is>
      </c>
      <c r="H13" s="17" t="n">
        <v>3</v>
      </c>
    </row>
    <row r="14" outlineLevel="2">
      <c r="A14" s="10" t="inlineStr">
        <is>
          <t>1.1.3</t>
        </is>
      </c>
      <c r="B14" s="10" t="inlineStr">
        <is>
          <t>User Story</t>
        </is>
      </c>
      <c r="C14" s="11" t="inlineStr">
        <is>
          <t>UC3 – Zobraziť zoznam misií</t>
        </is>
      </c>
      <c r="D14" s="12" t="inlineStr">
        <is>
          <t>Ako operátor / externý systém chcem vidieť prebiehajúce aj ukončené misie s aktuálnym stavom.</t>
        </is>
      </c>
      <c r="E14" s="12" t="inlineStr">
        <is>
          <t>• Zoznam zobrazuje misie s aktuálnym stavom, voliteľne filter aktívne / ukončené.
• Dáta sa čítajú len z vlastnej DB, KUKA FM sa nevolá.
• UI sa priebežne obnovuje (real-time aktualizácia).</t>
        </is>
      </c>
      <c r="F14" s="12" t="inlineStr">
        <is>
          <t>UC3</t>
        </is>
      </c>
      <c r="G14" s="13" t="inlineStr"/>
      <c r="H14" s="10">
        <f>SUM(H15:H17)</f>
        <v/>
      </c>
    </row>
    <row r="15" outlineLevel="3">
      <c r="A15" s="14" t="inlineStr">
        <is>
          <t>1.1.3.1</t>
        </is>
      </c>
      <c r="B15" s="14" t="inlineStr">
        <is>
          <t>Task</t>
        </is>
      </c>
      <c r="C15" s="15" t="inlineStr">
        <is>
          <t>[BE] Endpoint GET /api/missions?state=active|finished</t>
        </is>
      </c>
      <c r="D15" s="16" t="inlineStr">
        <is>
          <t>Čítanie z DB (diagram 4.3), zoradenie podľa CreatedAt desc.</t>
        </is>
      </c>
      <c r="E15" s="16" t="inlineStr"/>
      <c r="F15" s="16" t="inlineStr">
        <is>
          <t>BE</t>
        </is>
      </c>
      <c r="G15" s="14" t="inlineStr">
        <is>
          <t>Development</t>
        </is>
      </c>
      <c r="H15" s="17" t="n">
        <v>3</v>
      </c>
    </row>
    <row r="16" outlineLevel="3">
      <c r="A16" s="14" t="inlineStr">
        <is>
          <t>1.1.3.2</t>
        </is>
      </c>
      <c r="B16" s="14" t="inlineStr">
        <is>
          <t>Task</t>
        </is>
      </c>
      <c r="C16" s="15" t="inlineStr">
        <is>
          <t>[FE] Obrazovka Zoznam misií + filter + auto-refresh (mockup 6.1)</t>
        </is>
      </c>
      <c r="D16" s="16" t="inlineStr">
        <is>
          <t>Tabuľka misií so stavom, filter aktívne / ukončené, periodické obnovovanie.</t>
        </is>
      </c>
      <c r="E16" s="16" t="inlineStr"/>
      <c r="F16" s="16" t="inlineStr">
        <is>
          <t>FE</t>
        </is>
      </c>
      <c r="G16" s="14" t="inlineStr">
        <is>
          <t>Development</t>
        </is>
      </c>
      <c r="H16" s="17" t="n">
        <v>6</v>
      </c>
    </row>
    <row r="17" outlineLevel="3">
      <c r="A17" s="14" t="inlineStr">
        <is>
          <t>1.1.3.3</t>
        </is>
      </c>
      <c r="B17" s="14" t="inlineStr">
        <is>
          <t>Task</t>
        </is>
      </c>
      <c r="C17" s="15" t="inlineStr">
        <is>
          <t>[TEST] Unit testy filtra aktívne / ukončené</t>
        </is>
      </c>
      <c r="D17" s="16" t="inlineStr"/>
      <c r="E17" s="16" t="inlineStr"/>
      <c r="F17" s="16" t="inlineStr">
        <is>
          <t>TEST</t>
        </is>
      </c>
      <c r="G17" s="14" t="inlineStr">
        <is>
          <t>Testing</t>
        </is>
      </c>
      <c r="H17" s="17" t="n">
        <v>2</v>
      </c>
    </row>
    <row r="18" outlineLevel="2">
      <c r="A18" s="10" t="inlineStr">
        <is>
          <t>1.1.4</t>
        </is>
      </c>
      <c r="B18" s="10" t="inlineStr">
        <is>
          <t>User Story</t>
        </is>
      </c>
      <c r="C18" s="11" t="inlineStr">
        <is>
          <t>UC4 – Zobraziť históriu stavov misie</t>
        </is>
      </c>
      <c r="D18" s="12" t="inlineStr">
        <is>
          <t>Ako operátor chcem vidieť časovú os zmien stavu konkrétnej misie.</t>
        </is>
      </c>
      <c r="E18" s="12" t="inlineStr">
        <is>
          <t>• Z detailu misie je vidieť všetky záznamy histórie stavov zoradené podľa času.
• Neexistujúca misia vráti 404.</t>
        </is>
      </c>
      <c r="F18" s="12" t="inlineStr">
        <is>
          <t>UC4</t>
        </is>
      </c>
      <c r="G18" s="13" t="inlineStr"/>
      <c r="H18" s="10">
        <f>SUM(H19:H21)</f>
        <v/>
      </c>
    </row>
    <row r="19" outlineLevel="3">
      <c r="A19" s="14" t="inlineStr">
        <is>
          <t>1.1.4.1</t>
        </is>
      </c>
      <c r="B19" s="14" t="inlineStr">
        <is>
          <t>Task</t>
        </is>
      </c>
      <c r="C19" s="15" t="inlineStr">
        <is>
          <t>[BE] Endpointy GET /api/missions/{id} a /api/missions/{id}/history</t>
        </is>
      </c>
      <c r="D19" s="16" t="inlineStr">
        <is>
          <t>Detail misie s MissionStep a záznamy MissionStatusHistory zoradené podľa ChangedAt.</t>
        </is>
      </c>
      <c r="E19" s="16" t="inlineStr"/>
      <c r="F19" s="16" t="inlineStr">
        <is>
          <t>BE</t>
        </is>
      </c>
      <c r="G19" s="14" t="inlineStr">
        <is>
          <t>Development</t>
        </is>
      </c>
      <c r="H19" s="17" t="n">
        <v>3</v>
      </c>
    </row>
    <row r="20" outlineLevel="3">
      <c r="A20" s="14" t="inlineStr">
        <is>
          <t>1.1.4.2</t>
        </is>
      </c>
      <c r="B20" s="14" t="inlineStr">
        <is>
          <t>Task</t>
        </is>
      </c>
      <c r="C20" s="15" t="inlineStr">
        <is>
          <t>[FE] Obrazovka Detail misie s časovou osou (mockup 6.3)</t>
        </is>
      </c>
      <c r="D20" s="16" t="inlineStr"/>
      <c r="E20" s="16" t="inlineStr"/>
      <c r="F20" s="16" t="inlineStr">
        <is>
          <t>FE</t>
        </is>
      </c>
      <c r="G20" s="14" t="inlineStr">
        <is>
          <t>Development</t>
        </is>
      </c>
      <c r="H20" s="17" t="n">
        <v>5</v>
      </c>
    </row>
    <row r="21" outlineLevel="3">
      <c r="A21" s="14" t="inlineStr">
        <is>
          <t>1.1.4.3</t>
        </is>
      </c>
      <c r="B21" s="14" t="inlineStr">
        <is>
          <t>Task</t>
        </is>
      </c>
      <c r="C21" s="15" t="inlineStr">
        <is>
          <t>[TEST] Unit testy histórie (poradie, 404)</t>
        </is>
      </c>
      <c r="D21" s="16" t="inlineStr"/>
      <c r="E21" s="16" t="inlineStr"/>
      <c r="F21" s="16" t="inlineStr">
        <is>
          <t>TEST</t>
        </is>
      </c>
      <c r="G21" s="14" t="inlineStr">
        <is>
          <t>Testing</t>
        </is>
      </c>
      <c r="H21" s="17" t="n">
        <v>2</v>
      </c>
    </row>
    <row r="22" outlineLevel="1">
      <c r="A22" s="6" t="inlineStr">
        <is>
          <t>1.2</t>
        </is>
      </c>
      <c r="B22" s="6" t="inlineStr">
        <is>
          <t>Feature</t>
        </is>
      </c>
      <c r="C22" s="7" t="inlineStr">
        <is>
          <t>Prehľad robotov</t>
        </is>
      </c>
      <c r="D22" s="8" t="inlineStr">
        <is>
          <t>Zoznam robotov a ich aktuálneho stavu (UC6, wiki 3.2).</t>
        </is>
      </c>
      <c r="E22" s="8" t="inlineStr">
        <is>
          <t>• UI zobrazuje všetky roboty so stavom Dostupný / Zaneprázdnený / Offline.</t>
        </is>
      </c>
      <c r="F22" s="8" t="inlineStr">
        <is>
          <t>FR7</t>
        </is>
      </c>
      <c r="G22" s="9" t="inlineStr"/>
      <c r="H22" s="6">
        <f>H23</f>
        <v/>
      </c>
    </row>
    <row r="23" outlineLevel="2">
      <c r="A23" s="10" t="inlineStr">
        <is>
          <t>1.2.1</t>
        </is>
      </c>
      <c r="B23" s="10" t="inlineStr">
        <is>
          <t>User Story</t>
        </is>
      </c>
      <c r="C23" s="11" t="inlineStr">
        <is>
          <t>UC6 – Zobraziť zoznam robotov</t>
        </is>
      </c>
      <c r="D23" s="12" t="inlineStr">
        <is>
          <t>Ako operátor chcem vidieť roboty a ich aktuálny stav.</t>
        </is>
      </c>
      <c r="E23" s="12" t="inlineStr">
        <is>
          <t>• Zoznam zobrazuje roboty a ich stav (dostupný / zaneprázdnený / offline).
• Dáta sa čítajú len z vlastnej DB a UI sa priebežne obnovuje.</t>
        </is>
      </c>
      <c r="F23" s="12" t="inlineStr">
        <is>
          <t>UC6</t>
        </is>
      </c>
      <c r="G23" s="13" t="inlineStr"/>
      <c r="H23" s="10">
        <f>SUM(H24:H26)</f>
        <v/>
      </c>
    </row>
    <row r="24" outlineLevel="3">
      <c r="A24" s="14" t="inlineStr">
        <is>
          <t>1.2.1.1</t>
        </is>
      </c>
      <c r="B24" s="14" t="inlineStr">
        <is>
          <t>Task</t>
        </is>
      </c>
      <c r="C24" s="15" t="inlineStr">
        <is>
          <t>[BE] Endpoint GET /api/robots</t>
        </is>
      </c>
      <c r="D24" s="16" t="inlineStr"/>
      <c r="E24" s="16" t="inlineStr"/>
      <c r="F24" s="16" t="inlineStr">
        <is>
          <t>BE</t>
        </is>
      </c>
      <c r="G24" s="14" t="inlineStr">
        <is>
          <t>Development</t>
        </is>
      </c>
      <c r="H24" s="17" t="n">
        <v>2</v>
      </c>
    </row>
    <row r="25" outlineLevel="3">
      <c r="A25" s="14" t="inlineStr">
        <is>
          <t>1.2.1.2</t>
        </is>
      </c>
      <c r="B25" s="14" t="inlineStr">
        <is>
          <t>Task</t>
        </is>
      </c>
      <c r="C25" s="15" t="inlineStr">
        <is>
          <t>[FE] Obrazovka Roboty + auto-refresh (mockup 6.5)</t>
        </is>
      </c>
      <c r="D25" s="16" t="inlineStr"/>
      <c r="E25" s="16" t="inlineStr"/>
      <c r="F25" s="16" t="inlineStr">
        <is>
          <t>FE</t>
        </is>
      </c>
      <c r="G25" s="14" t="inlineStr">
        <is>
          <t>Development</t>
        </is>
      </c>
      <c r="H25" s="17" t="n">
        <v>5</v>
      </c>
    </row>
    <row r="26" outlineLevel="3">
      <c r="A26" s="14" t="inlineStr">
        <is>
          <t>1.2.1.3</t>
        </is>
      </c>
      <c r="B26" s="14" t="inlineStr">
        <is>
          <t>Task</t>
        </is>
      </c>
      <c r="C26" s="15" t="inlineStr">
        <is>
          <t>[TEST] Unit testy endpointu robotov</t>
        </is>
      </c>
      <c r="D26" s="16" t="inlineStr"/>
      <c r="E26" s="16" t="inlineStr"/>
      <c r="F26" s="16" t="inlineStr">
        <is>
          <t>TEST</t>
        </is>
      </c>
      <c r="G26" s="14" t="inlineStr">
        <is>
          <t>Testing</t>
        </is>
      </c>
      <c r="H26" s="17" t="n">
        <v>2</v>
      </c>
    </row>
    <row r="27" outlineLevel="1">
      <c r="A27" s="6" t="inlineStr">
        <is>
          <t>1.3</t>
        </is>
      </c>
      <c r="B27" s="6" t="inlineStr">
        <is>
          <t>Feature</t>
        </is>
      </c>
      <c r="C27" s="7" t="inlineStr">
        <is>
          <t>Synchronizácia s KUKA FM</t>
        </is>
      </c>
      <c r="D27" s="8" t="inlineStr">
        <is>
          <t>Prístup ku KUKA FM s tokenom a periodická synchronizácia stavov misií a robotov (UC5, UC7, wiki 3.3 a 4.0).</t>
        </is>
      </c>
      <c r="E27" s="8" t="inlineStr">
        <is>
          <t>• Stavy misií a robotov v DB sú aktuálne bez zásahu používateľa.
• Každé volanie na KUKA FM obsahuje platný access token.</t>
        </is>
      </c>
      <c r="F27" s="8" t="inlineStr">
        <is>
          <t>FR3; FR4; FR5; NFR3</t>
        </is>
      </c>
      <c r="G27" s="9" t="inlineStr"/>
      <c r="H27" s="6">
        <f>H28+H32+H35</f>
        <v/>
      </c>
    </row>
    <row r="28" outlineLevel="2">
      <c r="A28" s="10" t="inlineStr">
        <is>
          <t>1.3.1</t>
        </is>
      </c>
      <c r="B28" s="10" t="inlineStr">
        <is>
          <t>User Story</t>
        </is>
      </c>
      <c r="C28" s="11" t="inlineStr">
        <is>
          <t>Prístup ku KUKA FM API s access tokenom</t>
        </is>
      </c>
      <c r="D28" s="12" t="inlineStr">
        <is>
          <t>Ako middleware potrebujem pri každom volaní na KUKA FM platný token (diagram 4.0).</t>
        </is>
      </c>
      <c r="E28" s="12" t="inlineStr">
        <is>
          <t>• Všetky volania (submitMission, cancelMission, Query jobs, query robotov) idú cez jedného klienta.
• Pred volaním sa overí token v cache; ak nie je platný, vydá sa nový a uloží do cache.
• Každé volanie má hlavičku Authorization.
• Pri odpovedi 401 sa token zneplatní a obnoví najviac raz.
• Úspešné aj neúspešné volania a chyba autentifikácie sa zalogujú.</t>
        </is>
      </c>
      <c r="F28" s="12" t="inlineStr">
        <is>
          <t>NFR3</t>
        </is>
      </c>
      <c r="G28" s="13" t="inlineStr"/>
      <c r="H28" s="10">
        <f>SUM(H29:H31)</f>
        <v/>
      </c>
    </row>
    <row r="29" outlineLevel="3">
      <c r="A29" s="14" t="inlineStr">
        <is>
          <t>1.3.1.1</t>
        </is>
      </c>
      <c r="B29" s="14" t="inlineStr">
        <is>
          <t>Task</t>
        </is>
      </c>
      <c r="C29" s="15" t="inlineStr">
        <is>
          <t>[BE] Typovaný klient KUKA FM (submitMission, cancelMission, Query jobs, query robotov)</t>
        </is>
      </c>
      <c r="D29" s="16" t="inlineStr">
        <is>
          <t>URL a prístupové údaje z konfigurácie, logovanie každého volania.</t>
        </is>
      </c>
      <c r="E29" s="16" t="inlineStr"/>
      <c r="F29" s="16" t="inlineStr">
        <is>
          <t>BE</t>
        </is>
      </c>
      <c r="G29" s="14" t="inlineStr">
        <is>
          <t>Development</t>
        </is>
      </c>
      <c r="H29" s="17" t="n">
        <v>5</v>
      </c>
    </row>
    <row r="30" outlineLevel="3">
      <c r="A30" s="14" t="inlineStr">
        <is>
          <t>1.3.1.2</t>
        </is>
      </c>
      <c r="B30" s="14" t="inlineStr">
        <is>
          <t>Task</t>
        </is>
      </c>
      <c r="C30" s="15" t="inlineStr">
        <is>
          <t>[BE] Token – vydanie, cache, hlavička Authorization, obnova pri 401</t>
        </is>
      </c>
      <c r="D30" s="16" t="inlineStr">
        <is>
          <t>Podľa diagramu 4.0.</t>
        </is>
      </c>
      <c r="E30" s="16" t="inlineStr"/>
      <c r="F30" s="16" t="inlineStr">
        <is>
          <t>BE</t>
        </is>
      </c>
      <c r="G30" s="14" t="inlineStr">
        <is>
          <t>Development</t>
        </is>
      </c>
      <c r="H30" s="17" t="n">
        <v>4</v>
      </c>
    </row>
    <row r="31" outlineLevel="3">
      <c r="A31" s="14" t="inlineStr">
        <is>
          <t>1.3.1.3</t>
        </is>
      </c>
      <c r="B31" s="14" t="inlineStr">
        <is>
          <t>Task</t>
        </is>
      </c>
      <c r="C31" s="15" t="inlineStr">
        <is>
          <t>[TEST] Unit testy klienta a tokenu</t>
        </is>
      </c>
      <c r="D31" s="16" t="inlineStr">
        <is>
          <t>Platný token v cache, vydanie nového, 401 + obnova, opakovaná 401, chyba autentifikácie.</t>
        </is>
      </c>
      <c r="E31" s="16" t="inlineStr"/>
      <c r="F31" s="16" t="inlineStr">
        <is>
          <t>TEST</t>
        </is>
      </c>
      <c r="G31" s="14" t="inlineStr">
        <is>
          <t>Testing</t>
        </is>
      </c>
      <c r="H31" s="17" t="n">
        <v>3</v>
      </c>
    </row>
    <row r="32" outlineLevel="2">
      <c r="A32" s="10" t="inlineStr">
        <is>
          <t>1.3.2</t>
        </is>
      </c>
      <c r="B32" s="10" t="inlineStr">
        <is>
          <t>User Story</t>
        </is>
      </c>
      <c r="C32" s="11" t="inlineStr">
        <is>
          <t>UC7 – Synchronizovať stav robotov</t>
        </is>
      </c>
      <c r="D32" s="12" t="inlineStr">
        <is>
          <t>Ako plánovač chcem periodicky načítať stav robotov z KUKA FM.</t>
        </is>
      </c>
      <c r="E32" s="12" t="inlineStr">
        <is>
          <t>• Plánovač v intervale zavolá query API robotov na KUKA FM.
• Stav KUKA FM sa namapuje na dostupný / zaneprázdnený / offline.
• Nové roboty sa vložia, existujúcim sa aktualizuje stav a LastSeenAt.
• Pri neúspešnom volaní sa chyba zaloguje a dáta sa nemenia.</t>
        </is>
      </c>
      <c r="F32" s="12" t="inlineStr">
        <is>
          <t>UC7</t>
        </is>
      </c>
      <c r="G32" s="13" t="inlineStr"/>
      <c r="H32" s="10">
        <f>SUM(H33:H34)</f>
        <v/>
      </c>
    </row>
    <row r="33" outlineLevel="3">
      <c r="A33" s="14" t="inlineStr">
        <is>
          <t>1.3.2.1</t>
        </is>
      </c>
      <c r="B33" s="14" t="inlineStr">
        <is>
          <t>Task</t>
        </is>
      </c>
      <c r="C33" s="15" t="inlineStr">
        <is>
          <t>[BE] Background služba – query robotov, mapovanie stavov, vloženie / aktualizácia</t>
        </is>
      </c>
      <c r="D33" s="16" t="inlineStr">
        <is>
          <t>Podľa diagramu 4.5.</t>
        </is>
      </c>
      <c r="E33" s="16" t="inlineStr"/>
      <c r="F33" s="16" t="inlineStr">
        <is>
          <t>BE</t>
        </is>
      </c>
      <c r="G33" s="14" t="inlineStr">
        <is>
          <t>Development</t>
        </is>
      </c>
      <c r="H33" s="17" t="n">
        <v>5</v>
      </c>
    </row>
    <row r="34" outlineLevel="3">
      <c r="A34" s="14" t="inlineStr">
        <is>
          <t>1.3.2.2</t>
        </is>
      </c>
      <c r="B34" s="14" t="inlineStr">
        <is>
          <t>Task</t>
        </is>
      </c>
      <c r="C34" s="15" t="inlineStr">
        <is>
          <t>[TEST] Unit testy synchronizácie robotov</t>
        </is>
      </c>
      <c r="D34" s="16" t="inlineStr">
        <is>
          <t>Nový robot, zmena stavu, bez zmeny, výpadok KUKA FM.</t>
        </is>
      </c>
      <c r="E34" s="16" t="inlineStr"/>
      <c r="F34" s="16" t="inlineStr">
        <is>
          <t>TEST</t>
        </is>
      </c>
      <c r="G34" s="14" t="inlineStr">
        <is>
          <t>Testing</t>
        </is>
      </c>
      <c r="H34" s="17" t="n">
        <v>3</v>
      </c>
    </row>
    <row r="35" outlineLevel="2">
      <c r="A35" s="10" t="inlineStr">
        <is>
          <t>1.3.3</t>
        </is>
      </c>
      <c r="B35" s="10" t="inlineStr">
        <is>
          <t>User Story</t>
        </is>
      </c>
      <c r="C35" s="11" t="inlineStr">
        <is>
          <t>UC5 – Synchronizovať stav misií</t>
        </is>
      </c>
      <c r="D35" s="12" t="inlineStr">
        <is>
          <t>Ako plánovač chcem periodicky aktualizovať stav aktívnych misií z KUKA FM.</t>
        </is>
      </c>
      <c r="E35" s="12" t="inlineStr">
        <is>
          <t>• Plánovač v intervale (napr. 5 s) načíta aktívne misie (Submitted, InProgress, Cancelling) a zavolá Query jobs API.
• Pri zmene stavu sa aktualizuje Mission.Status a pridá sa záznam do histórie.
• Koncový stav (Completed, Cancelled, Failed) nastaví FinishedAt.
• Každej spracovanej misii sa nastaví LastSyncedAt a zmeny sa uložia v transakcii.
• Ak je KUKA FM nedostupné, chyba sa zaloguje a ďalší pokus prebehne v nasledujúcom cykle.</t>
        </is>
      </c>
      <c r="F35" s="12" t="inlineStr">
        <is>
          <t>UC5</t>
        </is>
      </c>
      <c r="G35" s="13" t="inlineStr"/>
      <c r="H35" s="10">
        <f>SUM(H36:H37)</f>
        <v/>
      </c>
    </row>
    <row r="36" outlineLevel="3">
      <c r="A36" s="14" t="inlineStr">
        <is>
          <t>1.3.3.1</t>
        </is>
      </c>
      <c r="B36" s="14" t="inlineStr">
        <is>
          <t>Task</t>
        </is>
      </c>
      <c r="C36" s="15" t="inlineStr">
        <is>
          <t>[BE] Background služba – Query jobs, porovnanie stavov, zápis histórie</t>
        </is>
      </c>
      <c r="D36" s="16" t="inlineStr">
        <is>
          <t>Podľa diagramu 4.4.</t>
        </is>
      </c>
      <c r="E36" s="16" t="inlineStr"/>
      <c r="F36" s="16" t="inlineStr">
        <is>
          <t>BE</t>
        </is>
      </c>
      <c r="G36" s="14" t="inlineStr">
        <is>
          <t>Development</t>
        </is>
      </c>
      <c r="H36" s="17" t="n">
        <v>6</v>
      </c>
    </row>
    <row r="37" outlineLevel="3">
      <c r="A37" s="14" t="inlineStr">
        <is>
          <t>1.3.3.2</t>
        </is>
      </c>
      <c r="B37" s="14" t="inlineStr">
        <is>
          <t>Task</t>
        </is>
      </c>
      <c r="C37" s="15" t="inlineStr">
        <is>
          <t>[TEST] Unit testy synchronizácie misií</t>
        </is>
      </c>
      <c r="D37" s="16" t="inlineStr">
        <is>
          <t>Zmena stavu, koncový stav, bez zmeny, výpadok KUKA FM.</t>
        </is>
      </c>
      <c r="E37" s="16" t="inlineStr"/>
      <c r="F37" s="16" t="inlineStr">
        <is>
          <t>TEST</t>
        </is>
      </c>
      <c r="G37" s="14" t="inlineStr">
        <is>
          <t>Testing</t>
        </is>
      </c>
      <c r="H37" s="17" t="n">
        <v>3</v>
      </c>
    </row>
    <row r="38" outlineLevel="1">
      <c r="A38" s="6" t="inlineStr">
        <is>
          <t>1.4</t>
        </is>
      </c>
      <c r="B38" s="6" t="inlineStr">
        <is>
          <t>Feature</t>
        </is>
      </c>
      <c r="C38" s="7" t="inlineStr">
        <is>
          <t>Nasadenie a prevádzka</t>
        </is>
      </c>
      <c r="D38" s="8" t="inlineStr">
        <is>
          <t>Kontajnerizácia, databáza, zabezpečenie API, logovanie a CI/CD.</t>
        </is>
      </c>
      <c r="E38" s="8" t="inlineStr">
        <is>
          <t>• Aplikácia beží v Dockeri a je zbuildovaná, otestovaná a nasadená pipeline bez ručných krokov.</t>
        </is>
      </c>
      <c r="F38" s="8" t="inlineStr">
        <is>
          <t>NFR1; NFR2; NFR4; NFR5</t>
        </is>
      </c>
      <c r="G38" s="9" t="inlineStr"/>
      <c r="H38" s="6">
        <f>H39+H44+H49+H53</f>
        <v/>
      </c>
    </row>
    <row r="39" outlineLevel="2">
      <c r="A39" s="10" t="inlineStr">
        <is>
          <t>1.4.1</t>
        </is>
      </c>
      <c r="B39" s="10" t="inlineStr">
        <is>
          <t>User Story</t>
        </is>
      </c>
      <c r="C39" s="11" t="inlineStr">
        <is>
          <t>Kontajnerizácia a databáza</t>
        </is>
      </c>
      <c r="D39" s="12" t="inlineStr">
        <is>
          <t>Ako tím chceme spustiť celé riešenie jedným príkazom s perzistentnou DB.</t>
        </is>
      </c>
      <c r="E39" s="12" t="inlineStr">
        <is>
          <t>• docker compose up spustí web, api a PostgreSQL.
• Schéma DB zodpovedá ERD (wiki 5) a vzniká EF Core migráciou pri štarte API.
• Dáta prežijú reštart kontajnerov.</t>
        </is>
      </c>
      <c r="F39" s="12" t="inlineStr">
        <is>
          <t>NFR1</t>
        </is>
      </c>
      <c r="G39" s="13" t="inlineStr"/>
      <c r="H39" s="10">
        <f>SUM(H40:H43)</f>
        <v/>
      </c>
    </row>
    <row r="40" outlineLevel="3">
      <c r="A40" s="14" t="inlineStr">
        <is>
          <t>1.4.1.1</t>
        </is>
      </c>
      <c r="B40" s="14" t="inlineStr">
        <is>
          <t>Task</t>
        </is>
      </c>
      <c r="C40" s="15" t="inlineStr">
        <is>
          <t>[BE] Kostra .NET riešenia + EF Core DbContext a migrácia podľa ERD</t>
        </is>
      </c>
      <c r="D40" s="16" t="inlineStr"/>
      <c r="E40" s="16" t="inlineStr"/>
      <c r="F40" s="16" t="inlineStr">
        <is>
          <t>BE</t>
        </is>
      </c>
      <c r="G40" s="14" t="inlineStr">
        <is>
          <t>Development</t>
        </is>
      </c>
      <c r="H40" s="17" t="n">
        <v>5</v>
      </c>
    </row>
    <row r="41" outlineLevel="3">
      <c r="A41" s="14" t="inlineStr">
        <is>
          <t>1.4.1.2</t>
        </is>
      </c>
      <c r="B41" s="14" t="inlineStr">
        <is>
          <t>Task</t>
        </is>
      </c>
      <c r="C41" s="15" t="inlineStr">
        <is>
          <t>[FE] Kostra Vue 3 projektu (Vite, Vue Router)</t>
        </is>
      </c>
      <c r="D41" s="16" t="inlineStr"/>
      <c r="E41" s="16" t="inlineStr"/>
      <c r="F41" s="16" t="inlineStr">
        <is>
          <t>FE</t>
        </is>
      </c>
      <c r="G41" s="14" t="inlineStr">
        <is>
          <t>Development</t>
        </is>
      </c>
      <c r="H41" s="17" t="n">
        <v>2</v>
      </c>
    </row>
    <row r="42" outlineLevel="3">
      <c r="A42" s="14" t="inlineStr">
        <is>
          <t>1.4.1.3</t>
        </is>
      </c>
      <c r="B42" s="14" t="inlineStr">
        <is>
          <t>Task</t>
        </is>
      </c>
      <c r="C42" s="15" t="inlineStr">
        <is>
          <t>[DevOps] Dockerfile pre API a web (nginx, proxy /api)</t>
        </is>
      </c>
      <c r="D42" s="16" t="inlineStr"/>
      <c r="E42" s="16" t="inlineStr"/>
      <c r="F42" s="16" t="inlineStr">
        <is>
          <t>DevOps</t>
        </is>
      </c>
      <c r="G42" s="14" t="inlineStr">
        <is>
          <t>Deployment</t>
        </is>
      </c>
      <c r="H42" s="17" t="n">
        <v>4</v>
      </c>
    </row>
    <row r="43" outlineLevel="3">
      <c r="A43" s="14" t="inlineStr">
        <is>
          <t>1.4.1.4</t>
        </is>
      </c>
      <c r="B43" s="14" t="inlineStr">
        <is>
          <t>Task</t>
        </is>
      </c>
      <c r="C43" s="15" t="inlineStr">
        <is>
          <t>[DevOps] docker-compose.yml (web, api, postgres s volume) + .env.example</t>
        </is>
      </c>
      <c r="D43" s="16" t="inlineStr"/>
      <c r="E43" s="16" t="inlineStr"/>
      <c r="F43" s="16" t="inlineStr">
        <is>
          <t>DevOps</t>
        </is>
      </c>
      <c r="G43" s="14" t="inlineStr">
        <is>
          <t>Deployment</t>
        </is>
      </c>
      <c r="H43" s="17" t="n">
        <v>3</v>
      </c>
    </row>
    <row r="44" outlineLevel="2">
      <c r="A44" s="10" t="inlineStr">
        <is>
          <t>1.4.2</t>
        </is>
      </c>
      <c r="B44" s="10" t="inlineStr">
        <is>
          <t>User Story</t>
        </is>
      </c>
      <c r="C44" s="11" t="inlineStr">
        <is>
          <t>Zabezpečenie API a logovanie</t>
        </is>
      </c>
      <c r="D44" s="12" t="inlineStr">
        <is>
          <t>Ako prevádzkovateľ chcem, aby API prijímalo len autorizované requesty a všetky operácie boli zalogované.</t>
        </is>
      </c>
      <c r="E44" s="12" t="inlineStr">
        <is>
          <t>• Request bez platného API kľúča dostane 401.
• Middleware zapisuje štruktúrované logy o vlastnej činnosti a chybách na stdout.
• Každé zadanie a zrušenie misie (aj neúspešné) má záznam v AuditLog.</t>
        </is>
      </c>
      <c r="F44" s="12" t="inlineStr">
        <is>
          <t>NFR2; NFR4</t>
        </is>
      </c>
      <c r="G44" s="13" t="inlineStr"/>
      <c r="H44" s="10">
        <f>SUM(H45:H48)</f>
        <v/>
      </c>
    </row>
    <row r="45" outlineLevel="3">
      <c r="A45" s="14" t="inlineStr">
        <is>
          <t>1.4.2.1</t>
        </is>
      </c>
      <c r="B45" s="14" t="inlineStr">
        <is>
          <t>Task</t>
        </is>
      </c>
      <c r="C45" s="15" t="inlineStr">
        <is>
          <t>[BE] Autentifikácia API kľúčom (ApiClient, hash v DB, seed pre web UI a externý systém)</t>
        </is>
      </c>
      <c r="D45" s="16" t="inlineStr"/>
      <c r="E45" s="16" t="inlineStr"/>
      <c r="F45" s="16" t="inlineStr">
        <is>
          <t>BE</t>
        </is>
      </c>
      <c r="G45" s="14" t="inlineStr">
        <is>
          <t>Development</t>
        </is>
      </c>
      <c r="H45" s="17" t="n">
        <v>4</v>
      </c>
    </row>
    <row r="46" outlineLevel="3">
      <c r="A46" s="14" t="inlineStr">
        <is>
          <t>1.4.2.2</t>
        </is>
      </c>
      <c r="B46" s="14" t="inlineStr">
        <is>
          <t>Task</t>
        </is>
      </c>
      <c r="C46" s="15" t="inlineStr">
        <is>
          <t>[BE] Štruktúrované logy na stdout</t>
        </is>
      </c>
      <c r="D46" s="16" t="inlineStr"/>
      <c r="E46" s="16" t="inlineStr"/>
      <c r="F46" s="16" t="inlineStr">
        <is>
          <t>BE</t>
        </is>
      </c>
      <c r="G46" s="14" t="inlineStr">
        <is>
          <t>Development</t>
        </is>
      </c>
      <c r="H46" s="17" t="n">
        <v>2</v>
      </c>
    </row>
    <row r="47" outlineLevel="3">
      <c r="A47" s="14" t="inlineStr">
        <is>
          <t>1.4.2.3</t>
        </is>
      </c>
      <c r="B47" s="14" t="inlineStr">
        <is>
          <t>Task</t>
        </is>
      </c>
      <c r="C47" s="15" t="inlineStr">
        <is>
          <t>[BE] Audit operácií do AuditLog (UC1, UC2)</t>
        </is>
      </c>
      <c r="D47" s="16" t="inlineStr"/>
      <c r="E47" s="16" t="inlineStr"/>
      <c r="F47" s="16" t="inlineStr">
        <is>
          <t>BE</t>
        </is>
      </c>
      <c r="G47" s="14" t="inlineStr">
        <is>
          <t>Development</t>
        </is>
      </c>
      <c r="H47" s="17" t="n">
        <v>3</v>
      </c>
    </row>
    <row r="48" outlineLevel="3">
      <c r="A48" s="14" t="inlineStr">
        <is>
          <t>1.4.2.4</t>
        </is>
      </c>
      <c r="B48" s="14" t="inlineStr">
        <is>
          <t>Task</t>
        </is>
      </c>
      <c r="C48" s="15" t="inlineStr">
        <is>
          <t>[TEST] Testy API kľúča a auditu</t>
        </is>
      </c>
      <c r="D48" s="16" t="inlineStr"/>
      <c r="E48" s="16" t="inlineStr"/>
      <c r="F48" s="16" t="inlineStr">
        <is>
          <t>TEST</t>
        </is>
      </c>
      <c r="G48" s="14" t="inlineStr">
        <is>
          <t>Testing</t>
        </is>
      </c>
      <c r="H48" s="17" t="n">
        <v>2</v>
      </c>
    </row>
    <row r="49" outlineLevel="2">
      <c r="A49" s="10" t="inlineStr">
        <is>
          <t>1.4.3</t>
        </is>
      </c>
      <c r="B49" s="10" t="inlineStr">
        <is>
          <t>User Story</t>
        </is>
      </c>
      <c r="C49" s="11" t="inlineStr">
        <is>
          <t>CI pipeline</t>
        </is>
      </c>
      <c r="D49" s="12" t="inlineStr">
        <is>
          <t>Ako tím chceme, aby sa každá zmena automaticky zbuildovala a otestovala.</t>
        </is>
      </c>
      <c r="E49" s="12" t="inlineStr">
        <is>
          <t>• Pipeline zbuilduje backend aj frontend a spustí testy.
• Prebehne statická analýza; pri chybe buildu, testov alebo analýzy pipeline zlyhá.
• PR do main nejde zmergovať bez úspešnej pipeline.</t>
        </is>
      </c>
      <c r="F49" s="12" t="inlineStr">
        <is>
          <t>NFR5</t>
        </is>
      </c>
      <c r="G49" s="13" t="inlineStr"/>
      <c r="H49" s="10">
        <f>SUM(H50:H52)</f>
        <v/>
      </c>
    </row>
    <row r="50" outlineLevel="3">
      <c r="A50" s="14" t="inlineStr">
        <is>
          <t>1.4.3.1</t>
        </is>
      </c>
      <c r="B50" s="14" t="inlineStr">
        <is>
          <t>Task</t>
        </is>
      </c>
      <c r="C50" s="15" t="inlineStr">
        <is>
          <t>[DevOps] Azure Pipeline – build, testy, publikovanie výsledkov</t>
        </is>
      </c>
      <c r="D50" s="16" t="inlineStr"/>
      <c r="E50" s="16" t="inlineStr"/>
      <c r="F50" s="16" t="inlineStr">
        <is>
          <t>DevOps</t>
        </is>
      </c>
      <c r="G50" s="14" t="inlineStr">
        <is>
          <t>Deployment</t>
        </is>
      </c>
      <c r="H50" s="17" t="n">
        <v>3</v>
      </c>
    </row>
    <row r="51" outlineLevel="3">
      <c r="A51" s="14" t="inlineStr">
        <is>
          <t>1.4.3.2</t>
        </is>
      </c>
      <c r="B51" s="14" t="inlineStr">
        <is>
          <t>Task</t>
        </is>
      </c>
      <c r="C51" s="15" t="inlineStr">
        <is>
          <t>[DevOps] Statická analýza backendu a frontendu</t>
        </is>
      </c>
      <c r="D51" s="16" t="inlineStr"/>
      <c r="E51" s="16" t="inlineStr"/>
      <c r="F51" s="16" t="inlineStr">
        <is>
          <t>DevOps</t>
        </is>
      </c>
      <c r="G51" s="14" t="inlineStr">
        <is>
          <t>Deployment</t>
        </is>
      </c>
      <c r="H51" s="17" t="n">
        <v>2</v>
      </c>
    </row>
    <row r="52" outlineLevel="3">
      <c r="A52" s="14" t="inlineStr">
        <is>
          <t>1.4.3.3</t>
        </is>
      </c>
      <c r="B52" s="14" t="inlineStr">
        <is>
          <t>Task</t>
        </is>
      </c>
      <c r="C52" s="15" t="inlineStr">
        <is>
          <t>[DevOps] Branch policy na main s povinnou pipeline</t>
        </is>
      </c>
      <c r="D52" s="16" t="inlineStr"/>
      <c r="E52" s="16" t="inlineStr"/>
      <c r="F52" s="16" t="inlineStr">
        <is>
          <t>DevOps</t>
        </is>
      </c>
      <c r="G52" s="14" t="inlineStr">
        <is>
          <t>Deployment</t>
        </is>
      </c>
      <c r="H52" s="17" t="n">
        <v>1</v>
      </c>
    </row>
    <row r="53" outlineLevel="2">
      <c r="A53" s="10" t="inlineStr">
        <is>
          <t>1.4.4</t>
        </is>
      </c>
      <c r="B53" s="10" t="inlineStr">
        <is>
          <t>User Story</t>
        </is>
      </c>
      <c r="C53" s="11" t="inlineStr">
        <is>
          <t>CD pipeline</t>
        </is>
      </c>
      <c r="D53" s="12" t="inlineStr">
        <is>
          <t>Ako tím chceme, aby sa nová verzia nasadila automaticky.</t>
        </is>
      </c>
      <c r="E53" s="12" t="inlineStr">
        <is>
          <t>• Po merge do main sa aplikácia nasadí bez ručného zásahu.
• Tajné hodnoty (KUKA token, DB heslo, API kľúče) sú v secret premenných, nie v repozitári.
• Po nasadení prebehne kontrola web aj /api/health, inak pipeline zlyhá.</t>
        </is>
      </c>
      <c r="F53" s="12" t="inlineStr">
        <is>
          <t>NFR5</t>
        </is>
      </c>
      <c r="G53" s="13" t="inlineStr"/>
      <c r="H53" s="10">
        <f>SUM(H54:H56)</f>
        <v/>
      </c>
    </row>
    <row r="54" outlineLevel="3">
      <c r="A54" s="14" t="inlineStr">
        <is>
          <t>1.4.4.1</t>
        </is>
      </c>
      <c r="B54" s="14" t="inlineStr">
        <is>
          <t>Task</t>
        </is>
      </c>
      <c r="C54" s="15" t="inlineStr">
        <is>
          <t>[DevOps] Deploy stage – build image + docker compose up</t>
        </is>
      </c>
      <c r="D54" s="16" t="inlineStr"/>
      <c r="E54" s="16" t="inlineStr"/>
      <c r="F54" s="16" t="inlineStr">
        <is>
          <t>DevOps</t>
        </is>
      </c>
      <c r="G54" s="14" t="inlineStr">
        <is>
          <t>Deployment</t>
        </is>
      </c>
      <c r="H54" s="17" t="n">
        <v>3</v>
      </c>
    </row>
    <row r="55" outlineLevel="3">
      <c r="A55" s="14" t="inlineStr">
        <is>
          <t>1.4.4.2</t>
        </is>
      </c>
      <c r="B55" s="14" t="inlineStr">
        <is>
          <t>Task</t>
        </is>
      </c>
      <c r="C55" s="15" t="inlineStr">
        <is>
          <t>[DevOps] Secrets cez variable group</t>
        </is>
      </c>
      <c r="D55" s="16" t="inlineStr"/>
      <c r="E55" s="16" t="inlineStr"/>
      <c r="F55" s="16" t="inlineStr">
        <is>
          <t>DevOps</t>
        </is>
      </c>
      <c r="G55" s="14" t="inlineStr">
        <is>
          <t>Deployment</t>
        </is>
      </c>
      <c r="H55" s="17" t="n">
        <v>2</v>
      </c>
    </row>
    <row r="56" outlineLevel="3">
      <c r="A56" s="14" t="inlineStr">
        <is>
          <t>1.4.4.3</t>
        </is>
      </c>
      <c r="B56" s="14" t="inlineStr">
        <is>
          <t>Task</t>
        </is>
      </c>
      <c r="C56" s="15" t="inlineStr">
        <is>
          <t>[BE] Health endpoint /api/health + smoke test po nasadení</t>
        </is>
      </c>
      <c r="D56" s="16" t="inlineStr"/>
      <c r="E56" s="16" t="inlineStr"/>
      <c r="F56" s="16" t="inlineStr">
        <is>
          <t>BE</t>
        </is>
      </c>
      <c r="G56" s="14" t="inlineStr">
        <is>
          <t>Deployment</t>
        </is>
      </c>
      <c r="H56" s="17" t="n">
        <v>2</v>
      </c>
    </row>
    <row r="58">
      <c r="C58" s="18" t="inlineStr">
        <is>
          <t>Modré čísla = odhad tasku (vstup); súčty za story / feature / epic sú vzorce. Riadky sa dajú zbaliť tlačidlami 1–4 vľavo hore.</t>
        </is>
      </c>
    </row>
  </sheetData>
  <autoFilter ref="A1:H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9" t="inlineStr">
        <is>
          <t>Backlog – súhrn odhadov</t>
        </is>
      </c>
    </row>
    <row r="3">
      <c r="A3" s="20" t="inlineStr">
        <is>
          <t>Feature</t>
        </is>
      </c>
      <c r="B3" s="20" t="inlineStr">
        <is>
          <t>Odhad (h)</t>
        </is>
      </c>
    </row>
    <row r="4">
      <c r="A4" s="21" t="inlineStr">
        <is>
          <t>Správa misií</t>
        </is>
      </c>
      <c r="B4" s="21">
        <f>Backlog!H3</f>
        <v/>
      </c>
    </row>
    <row r="5">
      <c r="A5" s="21" t="inlineStr">
        <is>
          <t>Prehľad robotov</t>
        </is>
      </c>
      <c r="B5" s="21">
        <f>Backlog!H22</f>
        <v/>
      </c>
    </row>
    <row r="6">
      <c r="A6" s="21" t="inlineStr">
        <is>
          <t>Synchronizácia s KUKA FM</t>
        </is>
      </c>
      <c r="B6" s="21">
        <f>Backlog!H27</f>
        <v/>
      </c>
    </row>
    <row r="7">
      <c r="A7" s="21" t="inlineStr">
        <is>
          <t>Nasadenie a prevádzka</t>
        </is>
      </c>
      <c r="B7" s="21">
        <f>Backlog!H38</f>
        <v/>
      </c>
    </row>
    <row r="8">
      <c r="A8" s="22" t="inlineStr">
        <is>
          <t>Spolu</t>
        </is>
      </c>
      <c r="B8" s="22">
        <f>SUM(B4:B7)</f>
        <v/>
      </c>
    </row>
    <row r="10">
      <c r="A10" s="20" t="inlineStr">
        <is>
          <t>Activity</t>
        </is>
      </c>
      <c r="B10" s="20" t="inlineStr">
        <is>
          <t>Odhad (h)</t>
        </is>
      </c>
    </row>
    <row r="11">
      <c r="A11" s="21" t="inlineStr">
        <is>
          <t>Development</t>
        </is>
      </c>
      <c r="B11" s="21">
        <f>SUMIFS(Backlog!H2:H56,Backlog!B2:B56,"Task",Backlog!G2:G56,A11)</f>
        <v/>
      </c>
    </row>
    <row r="12">
      <c r="A12" s="21" t="inlineStr">
        <is>
          <t>Testing</t>
        </is>
      </c>
      <c r="B12" s="21">
        <f>SUMIFS(Backlog!H2:H56,Backlog!B2:B56,"Task",Backlog!G2:G56,A12)</f>
        <v/>
      </c>
    </row>
    <row r="13">
      <c r="A13" s="21" t="inlineStr">
        <is>
          <t>Deployment</t>
        </is>
      </c>
      <c r="B13" s="21">
        <f>SUMIFS(Backlog!H2:H56,Backlog!B2:B56,"Task",Backlog!G2:G56,A13)</f>
        <v/>
      </c>
    </row>
    <row r="14">
      <c r="A14" s="22" t="inlineStr">
        <is>
          <t>Spolu</t>
        </is>
      </c>
      <c r="B14" s="22">
        <f>SUM(B11:B13)</f>
        <v/>
      </c>
    </row>
    <row r="16">
      <c r="A16" s="20" t="inlineStr">
        <is>
          <t>Počet položiek</t>
        </is>
      </c>
      <c r="B16" s="20" t="inlineStr"/>
    </row>
    <row r="17">
      <c r="A17" s="21" t="inlineStr">
        <is>
          <t>Feature</t>
        </is>
      </c>
      <c r="B17" s="21">
        <f>COUNTIF(Backlog!B2:B56,"Feature")</f>
        <v/>
      </c>
    </row>
    <row r="18">
      <c r="A18" s="21" t="inlineStr">
        <is>
          <t>User Story</t>
        </is>
      </c>
      <c r="B18" s="21">
        <f>COUNTIF(Backlog!B2:B56,"User Story")</f>
        <v/>
      </c>
    </row>
    <row r="19">
      <c r="A19" s="21" t="inlineStr">
        <is>
          <t>Task</t>
        </is>
      </c>
      <c r="B19" s="21">
        <f>COUNTIF(Backlog!B2:B56,"Task")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2026-10-21T13:26:59Z</dcterms:created>
  <dcterms:modified xmlns:dcterms="http://purl.org/dc/terms/" xmlns:xsi="http://www.w3.org/2001/XMLSchema-instance" xsi:type="dcterms:W3CDTF">2026-10-21T13:26:59Z</dcterms:modified>
</cp:coreProperties>
</file>